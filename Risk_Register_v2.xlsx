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jangennat/Downloads/"/>
    </mc:Choice>
  </mc:AlternateContent>
  <xr:revisionPtr revIDLastSave="0" documentId="13_ncr:1_{9054A2AB-3F81-6D41-86D2-4F1A3B28BAE9}" xr6:coauthVersionLast="47" xr6:coauthVersionMax="47" xr10:uidLastSave="{00000000-0000-0000-0000-000000000000}"/>
  <bookViews>
    <workbookView xWindow="0" yWindow="600" windowWidth="40960" windowHeight="21460" tabRatio="500" xr2:uid="{00000000-000D-0000-FFFF-FFFF00000000}"/>
  </bookViews>
  <sheets>
    <sheet name="Document Info" sheetId="1" r:id="rId1"/>
    <sheet name="Risk Register" sheetId="2" r:id="rId2"/>
    <sheet name="Risk Matrix" sheetId="3" r:id="rId3"/>
    <sheet name="Summar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7" i="4" l="1"/>
  <c r="B7" i="4"/>
  <c r="D6" i="4"/>
  <c r="D5" i="4"/>
  <c r="D4" i="4"/>
  <c r="D3" i="4"/>
  <c r="O15" i="2"/>
  <c r="I15" i="2"/>
  <c r="O14" i="2"/>
  <c r="I14" i="2"/>
  <c r="O13" i="2"/>
  <c r="I13" i="2"/>
  <c r="O12" i="2"/>
  <c r="I12" i="2"/>
  <c r="O11" i="2"/>
  <c r="I11" i="2"/>
  <c r="O10" i="2"/>
  <c r="I10" i="2"/>
  <c r="O9" i="2"/>
  <c r="I9" i="2"/>
  <c r="O8" i="2"/>
  <c r="I8" i="2"/>
  <c r="O7" i="2"/>
  <c r="I7" i="2"/>
  <c r="O6" i="2"/>
  <c r="I6" i="2"/>
  <c r="O5" i="2"/>
  <c r="I5" i="2"/>
  <c r="O4" i="2"/>
  <c r="I4" i="2"/>
</calcChain>
</file>

<file path=xl/sharedStrings.xml><?xml version="1.0" encoding="utf-8"?>
<sst xmlns="http://schemas.openxmlformats.org/spreadsheetml/2006/main" count="317" uniqueCount="238">
  <si>
    <t>Document Control &amp; Version History</t>
  </si>
  <si>
    <t>Document Title</t>
  </si>
  <si>
    <t>Information Security Risk Register</t>
  </si>
  <si>
    <t>Document ID</t>
  </si>
  <si>
    <t>ISMS-RR-001</t>
  </si>
  <si>
    <t>Document Type</t>
  </si>
  <si>
    <t>Risk Register</t>
  </si>
  <si>
    <t>Classification</t>
  </si>
  <si>
    <t>Internal – Confidential</t>
  </si>
  <si>
    <t>Responsible Owner</t>
  </si>
  <si>
    <t>[CISO / Security Manager]</t>
  </si>
  <si>
    <t>Department</t>
  </si>
  <si>
    <t>[Information Security]</t>
  </si>
  <si>
    <t>Applicable Standard</t>
  </si>
  <si>
    <t>ISO/IEC 27001:2022, BSI IT-Grundschutz</t>
  </si>
  <si>
    <t>Scope</t>
  </si>
  <si>
    <t>[Organisation / Business Unit]</t>
  </si>
  <si>
    <t>Customer / Client</t>
  </si>
  <si>
    <t>[Customer Name]</t>
  </si>
  <si>
    <t>Customer Contact</t>
  </si>
  <si>
    <t>[Name, E-Mail]</t>
  </si>
  <si>
    <t>Project Name</t>
  </si>
  <si>
    <t>[Project Name]</t>
  </si>
  <si>
    <t>Project ID / Code</t>
  </si>
  <si>
    <t>[PRJ-XXXX]</t>
  </si>
  <si>
    <t>Contract Reference</t>
  </si>
  <si>
    <t>[Contract No.]</t>
  </si>
  <si>
    <t>Engagement Period</t>
  </si>
  <si>
    <t>[DD.MM.YYYY – DD.MM.YYYY]</t>
  </si>
  <si>
    <t>Current Version</t>
  </si>
  <si>
    <t>1.0</t>
  </si>
  <si>
    <t>Status</t>
  </si>
  <si>
    <t>Draft</t>
  </si>
  <si>
    <t>Created Date</t>
  </si>
  <si>
    <t>29.05.2026</t>
  </si>
  <si>
    <t>Created By</t>
  </si>
  <si>
    <t>[Author Name]</t>
  </si>
  <si>
    <t>Last Modified</t>
  </si>
  <si>
    <t>Last Modified By</t>
  </si>
  <si>
    <t>Next Review Date</t>
  </si>
  <si>
    <t>[DD.MM.YYYY]</t>
  </si>
  <si>
    <t>Review Cycle</t>
  </si>
  <si>
    <t>Annually / After Major Change</t>
  </si>
  <si>
    <t>Approved By</t>
  </si>
  <si>
    <t>[Name, Role]</t>
  </si>
  <si>
    <t>Approval Date</t>
  </si>
  <si>
    <t>Version</t>
  </si>
  <si>
    <t>Date</t>
  </si>
  <si>
    <t>Author</t>
  </si>
  <si>
    <t>Change Description / Summary</t>
  </si>
  <si>
    <t>[Author]</t>
  </si>
  <si>
    <t>Initial creation of Risk Register – 12 inherent risks documented</t>
  </si>
  <si>
    <t>Role</t>
  </si>
  <si>
    <t>Name</t>
  </si>
  <si>
    <t>Signature / Initials</t>
  </si>
  <si>
    <t>Author / Creator</t>
  </si>
  <si>
    <t>[Name]</t>
  </si>
  <si>
    <t>Reviewer</t>
  </si>
  <si>
    <t>Approver (CISO / Manager)</t>
  </si>
  <si>
    <t>Customer Representative</t>
  </si>
  <si>
    <t>⚠  Fields highlighted in yellow must be completed before distribution.  |  This document is classified INTERNAL – CONFIDENTIAL and must not be shared without authorisation.</t>
  </si>
  <si>
    <t>Version: 1.0  |  Classification: Internal  |  Last Updated: 29.05.2026  |  Owner: Information Security</t>
  </si>
  <si>
    <t>Category</t>
  </si>
  <si>
    <t>Risk Title</t>
  </si>
  <si>
    <t>Risk Description</t>
  </si>
  <si>
    <t>Threat Actor</t>
  </si>
  <si>
    <t>Affected Asset</t>
  </si>
  <si>
    <t>Likelihood
(1-5)</t>
  </si>
  <si>
    <t>Impact
(1-5)</t>
  </si>
  <si>
    <t>Risk Score
(L×I)</t>
  </si>
  <si>
    <t>Risk Rating</t>
  </si>
  <si>
    <t>Existing Controls</t>
  </si>
  <si>
    <t>Control Effectiveness</t>
  </si>
  <si>
    <t>Residual Likelihood</t>
  </si>
  <si>
    <t>Residual Impact</t>
  </si>
  <si>
    <t>Residual Score</t>
  </si>
  <si>
    <t>Residual Rating</t>
  </si>
  <si>
    <t>Treatment</t>
  </si>
  <si>
    <t>Risk Owner</t>
  </si>
  <si>
    <t>Review Date</t>
  </si>
  <si>
    <t>RSK-001</t>
  </si>
  <si>
    <t>Access Control</t>
  </si>
  <si>
    <t>Privileged Account Abuse</t>
  </si>
  <si>
    <t>An internal user with elevated privileges misuses access rights to exfiltrate or manipulate sensitive data.</t>
  </si>
  <si>
    <t>Insider Threat</t>
  </si>
  <si>
    <t>Active Directory / IAM</t>
  </si>
  <si>
    <t>High</t>
  </si>
  <si>
    <t>PAM solution, quarterly access review, separation of duties</t>
  </si>
  <si>
    <t>Moderate</t>
  </si>
  <si>
    <t>Medium</t>
  </si>
  <si>
    <t>Mitigate – implement just-in-time access and enhanced monitoring</t>
  </si>
  <si>
    <t>Head of IT Security</t>
  </si>
  <si>
    <t>2026-09-30</t>
  </si>
  <si>
    <t>RSK-002</t>
  </si>
  <si>
    <t>Vulnerability Management</t>
  </si>
  <si>
    <t>Unpatched Critical CVEs</t>
  </si>
  <si>
    <t>Known critical vulnerabilities remain unpatched beyond the SLA window, allowing exploitation by external attackers.</t>
  </si>
  <si>
    <t>External Attacker</t>
  </si>
  <si>
    <t>Servers / Endpoints</t>
  </si>
  <si>
    <t>Critical</t>
  </si>
  <si>
    <t>Monthly patch cycle, vulnerability scanner, CVSS-based prioritisation</t>
  </si>
  <si>
    <t>Partial</t>
  </si>
  <si>
    <t>Mitigate – enforce 72 h critical patch SLA, automate deployment</t>
  </si>
  <si>
    <t>IT Operations Lead</t>
  </si>
  <si>
    <t>2026-07-31</t>
  </si>
  <si>
    <t>RSK-003</t>
  </si>
  <si>
    <t>Data Protection</t>
  </si>
  <si>
    <t>Unencrypted Data at Rest</t>
  </si>
  <si>
    <t>Sensitive personal and business data stored on file shares or databases without encryption, at risk in case of physical or logical access.</t>
  </si>
  <si>
    <t>External Attacker / Insider</t>
  </si>
  <si>
    <t>File Servers / Databases</t>
  </si>
  <si>
    <t>Encryption policy exists; partial enforcement via DLP</t>
  </si>
  <si>
    <t>Mitigate – enforce full-disk and database encryption, audit compliance</t>
  </si>
  <si>
    <t>CISO</t>
  </si>
  <si>
    <t>2026-08-31</t>
  </si>
  <si>
    <t>RSK-004</t>
  </si>
  <si>
    <t>Business Email Compromise</t>
  </si>
  <si>
    <t>Attackers impersonate executives or suppliers via spoofed emails to trick finance staff into fraudulent transfers.</t>
  </si>
  <si>
    <t>Cybercriminal Group</t>
  </si>
  <si>
    <t>Email Infrastructure / Finance Staff</t>
  </si>
  <si>
    <t>DMARC/DKIM/SPF, anti-phishing gateway, annual awareness training</t>
  </si>
  <si>
    <t>Mitigate – deploy anti-impersonation rules, quarterly simulated phishing</t>
  </si>
  <si>
    <t>Security Awareness Manager</t>
  </si>
  <si>
    <t>2026-10-31</t>
  </si>
  <si>
    <t>RSK-005</t>
  </si>
  <si>
    <t>Third-Party Risk</t>
  </si>
  <si>
    <t>Supply Chain Compromise</t>
  </si>
  <si>
    <t>A software or hardware supplier is compromised, introducing malicious code or a backdoor into the organisation's environment.</t>
  </si>
  <si>
    <t>Nation-State / Organised Crime</t>
  </si>
  <si>
    <t>IT Supply Chain</t>
  </si>
  <si>
    <t>Vendor risk assessments, contract security clauses</t>
  </si>
  <si>
    <t>Low</t>
  </si>
  <si>
    <t>Mitigate – SBOM requirement, isolated build pipelines, integrity verification</t>
  </si>
  <si>
    <t>Procurement / CISO</t>
  </si>
  <si>
    <t>2026-12-31</t>
  </si>
  <si>
    <t>RSK-006</t>
  </si>
  <si>
    <t>Endpoint Security</t>
  </si>
  <si>
    <t>Ransomware Infection via Removable Media</t>
  </si>
  <si>
    <t>Malware introduced through USB or external devices encrypts local and network-attached data, causing operational outage.</t>
  </si>
  <si>
    <t>Endpoints / File Shares</t>
  </si>
  <si>
    <t>USB port policy, EDR, network segmentation</t>
  </si>
  <si>
    <t>Mitigate – enforce USB block via GPO/MDM, offline backup testing</t>
  </si>
  <si>
    <t>IT Security Operations</t>
  </si>
  <si>
    <t>RSK-007</t>
  </si>
  <si>
    <t>Business Continuity</t>
  </si>
  <si>
    <t>Single Point of Failure – Primary Data Centre</t>
  </si>
  <si>
    <t>Loss of primary data centre due to power failure, fire, or flood results in prolonged outage of business-critical services.</t>
  </si>
  <si>
    <t>Natural Disaster / Infrastructure Failure</t>
  </si>
  <si>
    <t>Data Centre / Core Systems</t>
  </si>
  <si>
    <t>UPS, fire suppression, cooling redundancy; DR site planned</t>
  </si>
  <si>
    <t>Mitigate – activate secondary DR site, conduct annual failover test</t>
  </si>
  <si>
    <t>Infrastructure Manager</t>
  </si>
  <si>
    <t>2026-11-30</t>
  </si>
  <si>
    <t>RSK-008</t>
  </si>
  <si>
    <t>Identity &amp; Authentication</t>
  </si>
  <si>
    <t>Credential Stuffing Attack</t>
  </si>
  <si>
    <t>Automated use of leaked credential pairs to gain unauthorised access to employee or customer accounts.</t>
  </si>
  <si>
    <t>Web Portals / SaaS Applications</t>
  </si>
  <si>
    <t>Password policy, account lockout after 5 attempts</t>
  </si>
  <si>
    <t>Mitigate – enforce MFA for all external-facing services</t>
  </si>
  <si>
    <t>IAM Team Lead</t>
  </si>
  <si>
    <t>RSK-009</t>
  </si>
  <si>
    <t>Compliance &amp; Legal</t>
  </si>
  <si>
    <t>GDPR Data Subject Rights Non-Compliance</t>
  </si>
  <si>
    <t>Failure to respond to data subject access requests (DSAR) within statutory deadlines, resulting in regulatory fines and reputational damage.</t>
  </si>
  <si>
    <t>Regulatory Body</t>
  </si>
  <si>
    <t>Data Processing Systems / Records</t>
  </si>
  <si>
    <t>DSAR tracking spreadsheet, privacy policy, DPO in place</t>
  </si>
  <si>
    <t>Mitigate – implement automated DSAR workflow, train HR and Legal</t>
  </si>
  <si>
    <t>Data Protection Officer</t>
  </si>
  <si>
    <t>RSK-010</t>
  </si>
  <si>
    <t>Network Security</t>
  </si>
  <si>
    <t>Lateral Movement via Flat Network</t>
  </si>
  <si>
    <t>Once inside the perimeter, an attacker moves laterally across the flat network, compromising additional hosts and escalating privileges.</t>
  </si>
  <si>
    <t>External Attacker / Malware</t>
  </si>
  <si>
    <t>Internal Network</t>
  </si>
  <si>
    <t>Firewall, VLAN segmentation in progress, IDS</t>
  </si>
  <si>
    <t>Mitigate – complete micro-segmentation, deploy NDR, enforce zero-trust principles</t>
  </si>
  <si>
    <t>Network Security Engineer</t>
  </si>
  <si>
    <t>RSK-011</t>
  </si>
  <si>
    <t>Misconfigured Cloud Storage Bucket</t>
  </si>
  <si>
    <t>Publicly exposed cloud storage buckets leak sensitive company or customer data, leading to regulatory and reputational consequences.</t>
  </si>
  <si>
    <t>External Attacker / Security Researcher</t>
  </si>
  <si>
    <t>Cloud Infrastructure (S3/Blob/GCS)</t>
  </si>
  <si>
    <t>Cloud security posture management (CSPM) tool, infrastructure-as-code reviews</t>
  </si>
  <si>
    <t>Mitigate – enforce bucket policies via IaC, automated misconfiguration alerting</t>
  </si>
  <si>
    <t>Cloud Security Architect</t>
  </si>
  <si>
    <t>RSK-012</t>
  </si>
  <si>
    <t>Physical Security</t>
  </si>
  <si>
    <t>Tailgating into Secure Area</t>
  </si>
  <si>
    <t>Unauthorised individuals gain physical access to server rooms or sensitive areas by following authorised personnel without badging.</t>
  </si>
  <si>
    <t>Physical Infrastructure / Server Rooms</t>
  </si>
  <si>
    <t>Badge access control, CCTV, security awareness programme</t>
  </si>
  <si>
    <t>Reduce – install mantrap / airlock at data centre entry, retrain staff quarterly</t>
  </si>
  <si>
    <t>Facilities / Physical Security Lead</t>
  </si>
  <si>
    <t>RISK ASSESSMENT MATRIX  (Likelihood × Impact)</t>
  </si>
  <si>
    <t>Likelihood ↓  /  Impact →</t>
  </si>
  <si>
    <t>Very High (5)</t>
  </si>
  <si>
    <t>High (4)</t>
  </si>
  <si>
    <t>Medium (3)</t>
  </si>
  <si>
    <t>Low (2)</t>
  </si>
  <si>
    <t>Very Low (1)</t>
  </si>
  <si>
    <t>5-High</t>
  </si>
  <si>
    <t>4-Med</t>
  </si>
  <si>
    <t>3-Med</t>
  </si>
  <si>
    <t>2-Low</t>
  </si>
  <si>
    <t>1-Low</t>
  </si>
  <si>
    <t>10-High</t>
  </si>
  <si>
    <t>8-High</t>
  </si>
  <si>
    <t>6-Med</t>
  </si>
  <si>
    <t>15-Crit</t>
  </si>
  <si>
    <t>12-High</t>
  </si>
  <si>
    <t>9-Med</t>
  </si>
  <si>
    <t>20-Crit</t>
  </si>
  <si>
    <t>16-Crit</t>
  </si>
  <si>
    <t>25-Crit</t>
  </si>
  <si>
    <t>LEGEND</t>
  </si>
  <si>
    <t>Low (1–4)</t>
  </si>
  <si>
    <t>Medium (5–9)</t>
  </si>
  <si>
    <t>High (10–14)</t>
  </si>
  <si>
    <t>Critical (15+)</t>
  </si>
  <si>
    <t>RISK REGISTER – EXECUTIVE SUMMARY</t>
  </si>
  <si>
    <t># Inherent</t>
  </si>
  <si>
    <t># Residual</t>
  </si>
  <si>
    <t>% Reduced</t>
  </si>
  <si>
    <t>Action</t>
  </si>
  <si>
    <t>Immediate treatment required</t>
  </si>
  <si>
    <t>Treatment plan within 30 days</t>
  </si>
  <si>
    <t>Monitor and schedule treatment</t>
  </si>
  <si>
    <t>Accept or monitor</t>
  </si>
  <si>
    <t>TOTAL</t>
  </si>
  <si>
    <t>RISK REGISTER</t>
  </si>
  <si>
    <t xml:space="preserve"> DOCUMENT INFORMATION</t>
  </si>
  <si>
    <t xml:space="preserve"> CUSTOMER &amp; PROJECT</t>
  </si>
  <si>
    <t>VERSION CONTROL</t>
  </si>
  <si>
    <t>VERSION HISTORY</t>
  </si>
  <si>
    <t>SIGN-OFF &amp; DISTRIBUTION</t>
  </si>
  <si>
    <t>V-1.0-Created-by-Jan-Gennat/ https://github.com/Ozel0t-G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</si>
</sst>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%"/>
  </numFmts>
  <fonts count="16" x14ac:knownFonts="1">
    <font>
      <sz val="11"/>
      <color theme="1"/>
      <name val="Calibri"/>
      <family val="2"/>
      <charset val="1"/>
    </font>
    <font>
      <b/>
      <sz val="22"/>
      <color rgb="FFFFFFFF"/>
      <name val="Arial"/>
      <family val="2"/>
    </font>
    <font>
      <i/>
      <sz val="11"/>
      <color rgb="FFFFFFFF"/>
      <name val="Arial"/>
      <family val="2"/>
    </font>
    <font>
      <b/>
      <sz val="10"/>
      <color rgb="FFFFFFFF"/>
      <name val="Arial"/>
      <family val="2"/>
    </font>
    <font>
      <b/>
      <sz val="9"/>
      <color rgb="FF1F3864"/>
      <name val="Arial"/>
      <family val="2"/>
    </font>
    <font>
      <sz val="9"/>
      <color rgb="FF000000"/>
      <name val="Arial"/>
      <family val="2"/>
    </font>
    <font>
      <b/>
      <sz val="9"/>
      <color rgb="FFFFFFFF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i/>
      <sz val="8"/>
      <color rgb="FF595959"/>
      <name val="Arial"/>
      <family val="2"/>
    </font>
    <font>
      <b/>
      <sz val="16"/>
      <color rgb="FFFFFFFF"/>
      <name val="Arial"/>
      <family val="2"/>
    </font>
    <font>
      <i/>
      <sz val="9"/>
      <color rgb="FFFFFFFF"/>
      <name val="Arial"/>
      <family val="2"/>
    </font>
    <font>
      <b/>
      <sz val="13"/>
      <color rgb="FFFFFFFF"/>
      <name val="Arial"/>
      <family val="2"/>
    </font>
    <font>
      <b/>
      <sz val="9"/>
      <color rgb="FF000000"/>
      <name val="Arial"/>
      <family val="2"/>
    </font>
    <font>
      <sz val="10"/>
      <color rgb="FFFFFFFF"/>
      <name val="Arial"/>
      <family val="2"/>
    </font>
    <font>
      <sz val="10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EBF2FA"/>
        <bgColor rgb="FFF2F2F2"/>
      </patternFill>
    </fill>
    <fill>
      <patternFill patternType="solid">
        <fgColor rgb="FF1F3864"/>
        <bgColor rgb="FF333333"/>
      </patternFill>
    </fill>
    <fill>
      <patternFill patternType="solid">
        <fgColor rgb="FF2E5496"/>
        <bgColor rgb="FF2E75B6"/>
      </patternFill>
    </fill>
    <fill>
      <patternFill patternType="solid">
        <fgColor rgb="FF2E75B6"/>
        <bgColor rgb="FF2E5496"/>
      </patternFill>
    </fill>
    <fill>
      <patternFill patternType="solid">
        <fgColor rgb="FFD6E4F0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FFFACD"/>
        <bgColor rgb="FFFFF2CC"/>
      </patternFill>
    </fill>
    <fill>
      <patternFill patternType="solid">
        <fgColor rgb="FFF2F2F2"/>
        <bgColor rgb="FFEBF2FA"/>
      </patternFill>
    </fill>
    <fill>
      <patternFill patternType="solid">
        <fgColor rgb="FFFCE4B0"/>
        <bgColor rgb="FFFCE4D6"/>
      </patternFill>
    </fill>
    <fill>
      <patternFill patternType="solid">
        <fgColor rgb="FFFFF2CC"/>
        <bgColor rgb="FFFFFACD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EBF2FA"/>
      </patternFill>
    </fill>
    <fill>
      <patternFill patternType="solid">
        <fgColor rgb="FFC00000"/>
        <bgColor rgb="FF800000"/>
      </patternFill>
    </fill>
  </fills>
  <borders count="12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thin">
        <color rgb="FF1F3864"/>
      </bottom>
      <diagonal/>
    </border>
    <border>
      <left style="medium">
        <color rgb="FF1F38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1F3864"/>
      </right>
      <top style="thin">
        <color rgb="FFBFBFBF"/>
      </top>
      <bottom style="thin">
        <color rgb="FFBFBFBF"/>
      </bottom>
      <diagonal/>
    </border>
    <border>
      <left style="medium">
        <color rgb="FF1F3864"/>
      </left>
      <right/>
      <top/>
      <bottom style="medium">
        <color rgb="FF1F3864"/>
      </bottom>
      <diagonal/>
    </border>
    <border>
      <left/>
      <right/>
      <top/>
      <bottom style="medium">
        <color rgb="FF1F3864"/>
      </bottom>
      <diagonal/>
    </border>
    <border>
      <left/>
      <right style="medium">
        <color rgb="FF1F3864"/>
      </right>
      <top/>
      <bottom style="medium">
        <color rgb="FF1F3864"/>
      </bottom>
      <diagonal/>
    </border>
    <border>
      <left style="medium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  <border>
      <left style="thin">
        <color rgb="FF1F3864"/>
      </left>
      <right style="medium">
        <color rgb="FF1F3864"/>
      </right>
      <top style="thin">
        <color rgb="FF1F3864"/>
      </top>
      <bottom style="thin">
        <color rgb="FF1F3864"/>
      </bottom>
      <diagonal/>
    </border>
    <border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6" fillId="14" borderId="0" xfId="0" applyFont="1" applyFill="1" applyAlignment="1">
      <alignment horizontal="center" vertical="center"/>
    </xf>
    <xf numFmtId="0" fontId="13" fillId="10" borderId="0" xfId="0" applyFont="1" applyFill="1" applyAlignment="1">
      <alignment horizontal="center" vertical="center"/>
    </xf>
    <xf numFmtId="0" fontId="13" fillId="11" borderId="0" xfId="0" applyFont="1" applyFill="1" applyAlignment="1">
      <alignment horizontal="center" vertical="center"/>
    </xf>
    <xf numFmtId="0" fontId="13" fillId="1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12" fillId="3" borderId="0" xfId="0" applyFont="1" applyFill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9" fillId="8" borderId="10" xfId="0" applyFont="1" applyFill="1" applyBorder="1" applyAlignment="1">
      <alignment horizontal="left" vertical="center" wrapText="1" indent="1"/>
    </xf>
    <xf numFmtId="0" fontId="3" fillId="5" borderId="1" xfId="0" applyFont="1" applyFill="1" applyBorder="1" applyAlignment="1">
      <alignment horizontal="left" vertical="center" indent="1"/>
    </xf>
    <xf numFmtId="0" fontId="2" fillId="4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2" borderId="0" xfId="0" applyFill="1"/>
    <xf numFmtId="0" fontId="4" fillId="6" borderId="2" xfId="0" applyFont="1" applyFill="1" applyBorder="1" applyAlignment="1">
      <alignment horizontal="left" vertical="center" indent="1"/>
    </xf>
    <xf numFmtId="0" fontId="5" fillId="7" borderId="3" xfId="0" applyFont="1" applyFill="1" applyBorder="1" applyAlignment="1">
      <alignment horizontal="left" vertical="center" indent="1"/>
    </xf>
    <xf numFmtId="0" fontId="5" fillId="8" borderId="3" xfId="0" applyFont="1" applyFill="1" applyBorder="1" applyAlignment="1">
      <alignment horizontal="left" vertical="center" indent="1"/>
    </xf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6" fillId="4" borderId="7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7" fillId="7" borderId="7" xfId="0" applyFont="1" applyFill="1" applyBorder="1" applyAlignment="1">
      <alignment horizontal="center" vertical="center" wrapText="1"/>
    </xf>
    <xf numFmtId="0" fontId="7" fillId="7" borderId="8" xfId="0" applyFont="1" applyFill="1" applyBorder="1" applyAlignment="1">
      <alignment horizontal="center" vertical="center" wrapText="1"/>
    </xf>
    <xf numFmtId="0" fontId="7" fillId="7" borderId="8" xfId="0" applyFont="1" applyFill="1" applyBorder="1" applyAlignment="1">
      <alignment horizontal="left" vertical="center" wrapText="1"/>
    </xf>
    <xf numFmtId="0" fontId="7" fillId="7" borderId="9" xfId="0" applyFont="1" applyFill="1" applyBorder="1" applyAlignment="1">
      <alignment horizontal="left" vertical="center" wrapText="1"/>
    </xf>
    <xf numFmtId="0" fontId="7" fillId="9" borderId="7" xfId="0" applyFont="1" applyFill="1" applyBorder="1" applyAlignment="1">
      <alignment horizontal="center" vertical="center" wrapText="1"/>
    </xf>
    <xf numFmtId="0" fontId="7" fillId="9" borderId="8" xfId="0" applyFont="1" applyFill="1" applyBorder="1" applyAlignment="1">
      <alignment horizontal="center" vertical="center" wrapText="1"/>
    </xf>
    <xf numFmtId="0" fontId="7" fillId="9" borderId="8" xfId="0" applyFont="1" applyFill="1" applyBorder="1" applyAlignment="1">
      <alignment horizontal="left" vertical="center" wrapText="1"/>
    </xf>
    <xf numFmtId="0" fontId="7" fillId="9" borderId="9" xfId="0" applyFont="1" applyFill="1" applyBorder="1" applyAlignment="1">
      <alignment horizontal="left" vertical="center" wrapText="1"/>
    </xf>
    <xf numFmtId="0" fontId="8" fillId="9" borderId="7" xfId="0" applyFont="1" applyFill="1" applyBorder="1" applyAlignment="1">
      <alignment horizontal="left" vertical="center"/>
    </xf>
    <xf numFmtId="0" fontId="7" fillId="9" borderId="8" xfId="0" applyFont="1" applyFill="1" applyBorder="1" applyAlignment="1">
      <alignment horizontal="left" vertical="center"/>
    </xf>
    <xf numFmtId="0" fontId="7" fillId="9" borderId="8" xfId="0" applyFont="1" applyFill="1" applyBorder="1" applyAlignment="1">
      <alignment horizontal="center" vertical="center"/>
    </xf>
    <xf numFmtId="0" fontId="7" fillId="9" borderId="9" xfId="0" applyFont="1" applyFill="1" applyBorder="1" applyAlignment="1">
      <alignment horizontal="center" vertical="center"/>
    </xf>
    <xf numFmtId="0" fontId="8" fillId="7" borderId="7" xfId="0" applyFont="1" applyFill="1" applyBorder="1" applyAlignment="1">
      <alignment horizontal="left" vertical="center"/>
    </xf>
    <xf numFmtId="0" fontId="7" fillId="7" borderId="8" xfId="0" applyFont="1" applyFill="1" applyBorder="1" applyAlignment="1">
      <alignment horizontal="left" vertical="center"/>
    </xf>
    <xf numFmtId="0" fontId="7" fillId="7" borderId="8" xfId="0" applyFont="1" applyFill="1" applyBorder="1" applyAlignment="1">
      <alignment horizontal="center" vertical="center"/>
    </xf>
    <xf numFmtId="0" fontId="7" fillId="7" borderId="9" xfId="0" applyFont="1" applyFill="1" applyBorder="1" applyAlignment="1">
      <alignment horizontal="center" vertical="center"/>
    </xf>
    <xf numFmtId="0" fontId="6" fillId="5" borderId="11" xfId="0" applyFont="1" applyFill="1" applyBorder="1" applyAlignment="1">
      <alignment horizontal="center" vertical="center" wrapText="1"/>
    </xf>
    <xf numFmtId="0" fontId="7" fillId="9" borderId="11" xfId="0" applyFont="1" applyFill="1" applyBorder="1" applyAlignment="1">
      <alignment horizontal="center" vertical="top" wrapText="1"/>
    </xf>
    <xf numFmtId="0" fontId="7" fillId="9" borderId="11" xfId="0" applyFont="1" applyFill="1" applyBorder="1" applyAlignment="1">
      <alignment horizontal="left" vertical="top" wrapText="1"/>
    </xf>
    <xf numFmtId="0" fontId="8" fillId="10" borderId="11" xfId="0" applyFont="1" applyFill="1" applyBorder="1" applyAlignment="1">
      <alignment horizontal="center" vertical="top"/>
    </xf>
    <xf numFmtId="0" fontId="8" fillId="11" borderId="11" xfId="0" applyFont="1" applyFill="1" applyBorder="1" applyAlignment="1">
      <alignment horizontal="center" vertical="top"/>
    </xf>
    <xf numFmtId="0" fontId="7" fillId="7" borderId="11" xfId="0" applyFont="1" applyFill="1" applyBorder="1" applyAlignment="1">
      <alignment horizontal="center" vertical="top" wrapText="1"/>
    </xf>
    <xf numFmtId="0" fontId="7" fillId="7" borderId="11" xfId="0" applyFont="1" applyFill="1" applyBorder="1" applyAlignment="1">
      <alignment horizontal="left" vertical="top" wrapText="1"/>
    </xf>
    <xf numFmtId="0" fontId="8" fillId="12" borderId="11" xfId="0" applyFont="1" applyFill="1" applyBorder="1" applyAlignment="1">
      <alignment horizontal="center" vertical="top"/>
    </xf>
    <xf numFmtId="0" fontId="8" fillId="13" borderId="11" xfId="0" applyFont="1" applyFill="1" applyBorder="1" applyAlignment="1">
      <alignment horizontal="center" vertical="top"/>
    </xf>
    <xf numFmtId="0" fontId="6" fillId="4" borderId="0" xfId="0" applyFont="1" applyFill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13" fillId="10" borderId="11" xfId="0" applyFont="1" applyFill="1" applyBorder="1" applyAlignment="1">
      <alignment horizontal="center" vertical="center"/>
    </xf>
    <xf numFmtId="0" fontId="13" fillId="11" borderId="11" xfId="0" applyFont="1" applyFill="1" applyBorder="1" applyAlignment="1">
      <alignment horizontal="center" vertical="center"/>
    </xf>
    <xf numFmtId="0" fontId="13" fillId="13" borderId="11" xfId="0" applyFont="1" applyFill="1" applyBorder="1" applyAlignment="1">
      <alignment horizontal="center" vertical="center"/>
    </xf>
    <xf numFmtId="0" fontId="13" fillId="12" borderId="11" xfId="0" applyFont="1" applyFill="1" applyBorder="1" applyAlignment="1">
      <alignment horizontal="center" vertical="center"/>
    </xf>
    <xf numFmtId="0" fontId="6" fillId="14" borderId="11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left" vertical="center"/>
    </xf>
    <xf numFmtId="0" fontId="14" fillId="14" borderId="11" xfId="0" applyFont="1" applyFill="1" applyBorder="1" applyAlignment="1">
      <alignment horizontal="center" vertical="center"/>
    </xf>
    <xf numFmtId="164" fontId="14" fillId="14" borderId="11" xfId="0" applyNumberFormat="1" applyFont="1" applyFill="1" applyBorder="1" applyAlignment="1">
      <alignment horizontal="center" vertical="center"/>
    </xf>
    <xf numFmtId="0" fontId="14" fillId="14" borderId="11" xfId="0" applyFont="1" applyFill="1" applyBorder="1" applyAlignment="1">
      <alignment horizontal="left" vertical="center"/>
    </xf>
    <xf numFmtId="0" fontId="15" fillId="12" borderId="11" xfId="0" applyFont="1" applyFill="1" applyBorder="1" applyAlignment="1">
      <alignment horizontal="center" vertical="center"/>
    </xf>
    <xf numFmtId="164" fontId="15" fillId="12" borderId="11" xfId="0" applyNumberFormat="1" applyFont="1" applyFill="1" applyBorder="1" applyAlignment="1">
      <alignment horizontal="center" vertical="center"/>
    </xf>
    <xf numFmtId="0" fontId="15" fillId="12" borderId="11" xfId="0" applyFont="1" applyFill="1" applyBorder="1" applyAlignment="1">
      <alignment horizontal="left" vertical="center"/>
    </xf>
    <xf numFmtId="0" fontId="15" fillId="11" borderId="11" xfId="0" applyFont="1" applyFill="1" applyBorder="1" applyAlignment="1">
      <alignment horizontal="center" vertical="center"/>
    </xf>
    <xf numFmtId="164" fontId="15" fillId="11" borderId="11" xfId="0" applyNumberFormat="1" applyFont="1" applyFill="1" applyBorder="1" applyAlignment="1">
      <alignment horizontal="center" vertical="center"/>
    </xf>
    <xf numFmtId="0" fontId="15" fillId="11" borderId="11" xfId="0" applyFont="1" applyFill="1" applyBorder="1" applyAlignment="1">
      <alignment horizontal="left" vertical="center"/>
    </xf>
    <xf numFmtId="0" fontId="15" fillId="13" borderId="11" xfId="0" applyFont="1" applyFill="1" applyBorder="1" applyAlignment="1">
      <alignment horizontal="center" vertical="center"/>
    </xf>
    <xf numFmtId="164" fontId="15" fillId="13" borderId="11" xfId="0" applyNumberFormat="1" applyFont="1" applyFill="1" applyBorder="1" applyAlignment="1">
      <alignment horizontal="center" vertical="center"/>
    </xf>
    <xf numFmtId="0" fontId="15" fillId="13" borderId="11" xfId="0" applyFont="1" applyFill="1" applyBorder="1" applyAlignment="1">
      <alignment horizontal="left" vertical="center"/>
    </xf>
    <xf numFmtId="0" fontId="3" fillId="4" borderId="11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left" vertical="center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ACD"/>
      <rgbColor rgb="FFEBF2FA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2CC"/>
      <rgbColor rgb="FF99CCFF"/>
      <rgbColor rgb="FFFCE4D6"/>
      <rgbColor rgb="FFCC99FF"/>
      <rgbColor rgb="FFFCE4B0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9"/>
  <sheetViews>
    <sheetView showGridLines="0" tabSelected="1" topLeftCell="A20" zoomScale="127" zoomScaleNormal="127" workbookViewId="0">
      <selection activeCell="C52" sqref="C52"/>
    </sheetView>
  </sheetViews>
  <sheetFormatPr baseColWidth="10" defaultColWidth="8.6640625" defaultRowHeight="15" x14ac:dyDescent="0.2"/>
  <cols>
    <col min="1" max="1" width="3" customWidth="1"/>
    <col min="2" max="2" width="22" customWidth="1"/>
    <col min="3" max="3" width="32" customWidth="1"/>
    <col min="4" max="4" width="22" customWidth="1"/>
    <col min="5" max="5" width="32" customWidth="1"/>
    <col min="6" max="6" width="3" customWidth="1"/>
  </cols>
  <sheetData>
    <row r="1" spans="1:6" ht="18" customHeight="1" x14ac:dyDescent="0.2">
      <c r="A1" s="13" t="s">
        <v>231</v>
      </c>
      <c r="B1" s="13"/>
      <c r="C1" s="13"/>
      <c r="D1" s="13"/>
      <c r="E1" s="13"/>
      <c r="F1" s="13"/>
    </row>
    <row r="2" spans="1:6" ht="9.75" customHeight="1" x14ac:dyDescent="0.2">
      <c r="A2" s="13"/>
      <c r="B2" s="13"/>
      <c r="C2" s="13"/>
      <c r="D2" s="13"/>
      <c r="E2" s="13"/>
      <c r="F2" s="13"/>
    </row>
    <row r="3" spans="1:6" ht="49.5" customHeight="1" x14ac:dyDescent="0.2">
      <c r="A3" s="12" t="s">
        <v>231</v>
      </c>
      <c r="B3" s="12"/>
      <c r="C3" s="12"/>
      <c r="D3" s="12"/>
      <c r="E3" s="12"/>
      <c r="F3" s="12"/>
    </row>
    <row r="4" spans="1:6" ht="25.5" customHeight="1" x14ac:dyDescent="0.2">
      <c r="A4" s="11" t="s">
        <v>0</v>
      </c>
      <c r="B4" s="11"/>
      <c r="C4" s="11"/>
      <c r="D4" s="11"/>
      <c r="E4" s="11"/>
      <c r="F4" s="11"/>
    </row>
    <row r="5" spans="1:6" ht="9.75" customHeight="1" x14ac:dyDescent="0.2">
      <c r="A5" s="13"/>
      <c r="B5" s="13"/>
      <c r="C5" s="13"/>
      <c r="D5" s="13"/>
      <c r="E5" s="13"/>
      <c r="F5" s="13"/>
    </row>
    <row r="6" spans="1:6" ht="18" customHeight="1" x14ac:dyDescent="0.2">
      <c r="A6" s="13"/>
      <c r="B6" s="13"/>
      <c r="C6" s="13"/>
      <c r="D6" s="13"/>
      <c r="E6" s="13"/>
      <c r="F6" s="13"/>
    </row>
    <row r="7" spans="1:6" ht="21.75" customHeight="1" x14ac:dyDescent="0.2">
      <c r="A7" s="13"/>
      <c r="B7" s="10" t="s">
        <v>232</v>
      </c>
      <c r="C7" s="10"/>
      <c r="D7" s="10"/>
      <c r="E7" s="10"/>
      <c r="F7" s="13"/>
    </row>
    <row r="8" spans="1:6" ht="19.5" customHeight="1" x14ac:dyDescent="0.2">
      <c r="A8" s="13"/>
      <c r="B8" s="14" t="s">
        <v>1</v>
      </c>
      <c r="C8" s="15" t="s">
        <v>2</v>
      </c>
      <c r="D8" s="14" t="s">
        <v>3</v>
      </c>
      <c r="E8" s="15" t="s">
        <v>4</v>
      </c>
      <c r="F8" s="13"/>
    </row>
    <row r="9" spans="1:6" ht="19.5" customHeight="1" x14ac:dyDescent="0.2">
      <c r="A9" s="13"/>
      <c r="B9" s="14" t="s">
        <v>5</v>
      </c>
      <c r="C9" s="15" t="s">
        <v>6</v>
      </c>
      <c r="D9" s="14" t="s">
        <v>7</v>
      </c>
      <c r="E9" s="15" t="s">
        <v>8</v>
      </c>
      <c r="F9" s="13"/>
    </row>
    <row r="10" spans="1:6" ht="19.5" customHeight="1" x14ac:dyDescent="0.2">
      <c r="A10" s="13"/>
      <c r="B10" s="14" t="s">
        <v>9</v>
      </c>
      <c r="C10" s="16" t="s">
        <v>10</v>
      </c>
      <c r="D10" s="14" t="s">
        <v>11</v>
      </c>
      <c r="E10" s="16" t="s">
        <v>12</v>
      </c>
      <c r="F10" s="13"/>
    </row>
    <row r="11" spans="1:6" ht="19.5" customHeight="1" x14ac:dyDescent="0.2">
      <c r="A11" s="13"/>
      <c r="B11" s="14" t="s">
        <v>13</v>
      </c>
      <c r="C11" s="15" t="s">
        <v>14</v>
      </c>
      <c r="D11" s="14" t="s">
        <v>15</v>
      </c>
      <c r="E11" s="16" t="s">
        <v>16</v>
      </c>
      <c r="F11" s="13"/>
    </row>
    <row r="12" spans="1:6" ht="6" customHeight="1" x14ac:dyDescent="0.2">
      <c r="A12" s="13"/>
      <c r="B12" s="17"/>
      <c r="C12" s="18"/>
      <c r="D12" s="18"/>
      <c r="E12" s="19"/>
      <c r="F12" s="13"/>
    </row>
    <row r="13" spans="1:6" ht="9.75" customHeight="1" x14ac:dyDescent="0.2">
      <c r="A13" s="13"/>
      <c r="B13" s="13"/>
      <c r="C13" s="13"/>
      <c r="D13" s="13"/>
      <c r="E13" s="13"/>
      <c r="F13" s="13"/>
    </row>
    <row r="14" spans="1:6" ht="21.75" customHeight="1" x14ac:dyDescent="0.2">
      <c r="A14" s="13"/>
      <c r="B14" s="10" t="s">
        <v>233</v>
      </c>
      <c r="C14" s="10"/>
      <c r="D14" s="10"/>
      <c r="E14" s="10"/>
      <c r="F14" s="13"/>
    </row>
    <row r="15" spans="1:6" ht="19.5" customHeight="1" x14ac:dyDescent="0.2">
      <c r="A15" s="13"/>
      <c r="B15" s="14" t="s">
        <v>17</v>
      </c>
      <c r="C15" s="16" t="s">
        <v>18</v>
      </c>
      <c r="D15" s="14" t="s">
        <v>19</v>
      </c>
      <c r="E15" s="16" t="s">
        <v>20</v>
      </c>
      <c r="F15" s="13"/>
    </row>
    <row r="16" spans="1:6" ht="19.5" customHeight="1" x14ac:dyDescent="0.2">
      <c r="A16" s="13"/>
      <c r="B16" s="14" t="s">
        <v>21</v>
      </c>
      <c r="C16" s="16" t="s">
        <v>22</v>
      </c>
      <c r="D16" s="14" t="s">
        <v>23</v>
      </c>
      <c r="E16" s="16" t="s">
        <v>24</v>
      </c>
      <c r="F16" s="13"/>
    </row>
    <row r="17" spans="1:6" ht="19.5" customHeight="1" x14ac:dyDescent="0.2">
      <c r="A17" s="13"/>
      <c r="B17" s="14" t="s">
        <v>25</v>
      </c>
      <c r="C17" s="16" t="s">
        <v>26</v>
      </c>
      <c r="D17" s="14" t="s">
        <v>27</v>
      </c>
      <c r="E17" s="16" t="s">
        <v>28</v>
      </c>
      <c r="F17" s="13"/>
    </row>
    <row r="18" spans="1:6" ht="6" customHeight="1" x14ac:dyDescent="0.2">
      <c r="A18" s="13"/>
      <c r="B18" s="17"/>
      <c r="C18" s="18"/>
      <c r="D18" s="18"/>
      <c r="E18" s="19"/>
      <c r="F18" s="13"/>
    </row>
    <row r="19" spans="1:6" ht="9.75" customHeight="1" x14ac:dyDescent="0.2">
      <c r="A19" s="13"/>
      <c r="B19" s="13"/>
      <c r="C19" s="13"/>
      <c r="D19" s="13"/>
      <c r="E19" s="13"/>
      <c r="F19" s="13"/>
    </row>
    <row r="20" spans="1:6" ht="21.75" customHeight="1" x14ac:dyDescent="0.2">
      <c r="A20" s="13"/>
      <c r="B20" s="10" t="s">
        <v>234</v>
      </c>
      <c r="C20" s="10"/>
      <c r="D20" s="10"/>
      <c r="E20" s="10"/>
      <c r="F20" s="13"/>
    </row>
    <row r="21" spans="1:6" ht="19.5" customHeight="1" x14ac:dyDescent="0.2">
      <c r="A21" s="13"/>
      <c r="B21" s="14" t="s">
        <v>29</v>
      </c>
      <c r="C21" s="15" t="s">
        <v>30</v>
      </c>
      <c r="D21" s="14" t="s">
        <v>31</v>
      </c>
      <c r="E21" s="15" t="s">
        <v>32</v>
      </c>
      <c r="F21" s="13"/>
    </row>
    <row r="22" spans="1:6" ht="19.5" customHeight="1" x14ac:dyDescent="0.2">
      <c r="A22" s="13"/>
      <c r="B22" s="14" t="s">
        <v>33</v>
      </c>
      <c r="C22" s="15" t="s">
        <v>34</v>
      </c>
      <c r="D22" s="14" t="s">
        <v>35</v>
      </c>
      <c r="E22" s="16" t="s">
        <v>36</v>
      </c>
      <c r="F22" s="13"/>
    </row>
    <row r="23" spans="1:6" ht="19.5" customHeight="1" x14ac:dyDescent="0.2">
      <c r="A23" s="13"/>
      <c r="B23" s="14" t="s">
        <v>37</v>
      </c>
      <c r="C23" s="15" t="s">
        <v>34</v>
      </c>
      <c r="D23" s="14" t="s">
        <v>38</v>
      </c>
      <c r="E23" s="16" t="s">
        <v>36</v>
      </c>
      <c r="F23" s="13"/>
    </row>
    <row r="24" spans="1:6" ht="19.5" customHeight="1" x14ac:dyDescent="0.2">
      <c r="A24" s="13"/>
      <c r="B24" s="14" t="s">
        <v>39</v>
      </c>
      <c r="C24" s="16" t="s">
        <v>40</v>
      </c>
      <c r="D24" s="14" t="s">
        <v>41</v>
      </c>
      <c r="E24" s="15" t="s">
        <v>42</v>
      </c>
      <c r="F24" s="13"/>
    </row>
    <row r="25" spans="1:6" ht="19.5" customHeight="1" x14ac:dyDescent="0.2">
      <c r="A25" s="13"/>
      <c r="B25" s="14" t="s">
        <v>43</v>
      </c>
      <c r="C25" s="16" t="s">
        <v>44</v>
      </c>
      <c r="D25" s="14" t="s">
        <v>45</v>
      </c>
      <c r="E25" s="16" t="s">
        <v>40</v>
      </c>
      <c r="F25" s="13"/>
    </row>
    <row r="26" spans="1:6" ht="6" customHeight="1" x14ac:dyDescent="0.2">
      <c r="A26" s="13"/>
      <c r="B26" s="17"/>
      <c r="C26" s="18"/>
      <c r="D26" s="18"/>
      <c r="E26" s="19"/>
      <c r="F26" s="13"/>
    </row>
    <row r="27" spans="1:6" ht="9.75" customHeight="1" x14ac:dyDescent="0.2">
      <c r="A27" s="13"/>
      <c r="B27" s="13"/>
      <c r="C27" s="13"/>
      <c r="D27" s="13"/>
      <c r="E27" s="13"/>
      <c r="F27" s="13"/>
    </row>
    <row r="28" spans="1:6" ht="21.75" customHeight="1" x14ac:dyDescent="0.2">
      <c r="A28" s="13"/>
      <c r="B28" s="10" t="s">
        <v>235</v>
      </c>
      <c r="C28" s="10"/>
      <c r="D28" s="10"/>
      <c r="E28" s="10"/>
      <c r="F28" s="13"/>
    </row>
    <row r="29" spans="1:6" ht="19.5" customHeight="1" x14ac:dyDescent="0.2">
      <c r="A29" s="13"/>
      <c r="B29" s="20" t="s">
        <v>46</v>
      </c>
      <c r="C29" s="21" t="s">
        <v>47</v>
      </c>
      <c r="D29" s="21" t="s">
        <v>48</v>
      </c>
      <c r="E29" s="22" t="s">
        <v>49</v>
      </c>
      <c r="F29" s="13"/>
    </row>
    <row r="30" spans="1:6" ht="18" customHeight="1" x14ac:dyDescent="0.2">
      <c r="A30" s="13"/>
      <c r="B30" s="23" t="s">
        <v>30</v>
      </c>
      <c r="C30" s="24" t="s">
        <v>34</v>
      </c>
      <c r="D30" s="25" t="s">
        <v>50</v>
      </c>
      <c r="E30" s="26" t="s">
        <v>51</v>
      </c>
      <c r="F30" s="13"/>
    </row>
    <row r="31" spans="1:6" ht="18" customHeight="1" x14ac:dyDescent="0.2">
      <c r="A31" s="13"/>
      <c r="B31" s="27"/>
      <c r="C31" s="28"/>
      <c r="D31" s="29"/>
      <c r="E31" s="30"/>
      <c r="F31" s="13"/>
    </row>
    <row r="32" spans="1:6" ht="18" customHeight="1" x14ac:dyDescent="0.2">
      <c r="A32" s="13"/>
      <c r="B32" s="23"/>
      <c r="C32" s="24"/>
      <c r="D32" s="25"/>
      <c r="E32" s="26"/>
      <c r="F32" s="13"/>
    </row>
    <row r="33" spans="1:6" ht="18" customHeight="1" x14ac:dyDescent="0.2">
      <c r="A33" s="13"/>
      <c r="B33" s="27"/>
      <c r="C33" s="28"/>
      <c r="D33" s="29"/>
      <c r="E33" s="30"/>
      <c r="F33" s="13"/>
    </row>
    <row r="34" spans="1:6" ht="18" customHeight="1" x14ac:dyDescent="0.2">
      <c r="A34" s="13"/>
      <c r="B34" s="23"/>
      <c r="C34" s="24"/>
      <c r="D34" s="25"/>
      <c r="E34" s="26"/>
      <c r="F34" s="13"/>
    </row>
    <row r="35" spans="1:6" ht="6" customHeight="1" x14ac:dyDescent="0.2">
      <c r="A35" s="13"/>
      <c r="B35" s="17"/>
      <c r="C35" s="18"/>
      <c r="D35" s="18"/>
      <c r="E35" s="19"/>
      <c r="F35" s="13"/>
    </row>
    <row r="36" spans="1:6" ht="9.75" customHeight="1" x14ac:dyDescent="0.2">
      <c r="A36" s="13"/>
      <c r="B36" s="13"/>
      <c r="C36" s="13"/>
      <c r="D36" s="13"/>
      <c r="E36" s="13"/>
      <c r="F36" s="13"/>
    </row>
    <row r="37" spans="1:6" ht="21.75" customHeight="1" x14ac:dyDescent="0.2">
      <c r="A37" s="13"/>
      <c r="B37" s="10" t="s">
        <v>236</v>
      </c>
      <c r="C37" s="10"/>
      <c r="D37" s="10"/>
      <c r="E37" s="10"/>
      <c r="F37" s="13"/>
    </row>
    <row r="38" spans="1:6" ht="19.5" customHeight="1" x14ac:dyDescent="0.2">
      <c r="A38" s="13"/>
      <c r="B38" s="20" t="s">
        <v>52</v>
      </c>
      <c r="C38" s="21" t="s">
        <v>53</v>
      </c>
      <c r="D38" s="21" t="s">
        <v>54</v>
      </c>
      <c r="E38" s="22" t="s">
        <v>47</v>
      </c>
      <c r="F38" s="13"/>
    </row>
    <row r="39" spans="1:6" ht="19.5" customHeight="1" x14ac:dyDescent="0.2">
      <c r="A39" s="13"/>
      <c r="B39" s="31" t="s">
        <v>55</v>
      </c>
      <c r="C39" s="32" t="s">
        <v>56</v>
      </c>
      <c r="D39" s="33"/>
      <c r="E39" s="34"/>
      <c r="F39" s="13"/>
    </row>
    <row r="40" spans="1:6" ht="19.5" customHeight="1" x14ac:dyDescent="0.2">
      <c r="A40" s="13"/>
      <c r="B40" s="35" t="s">
        <v>57</v>
      </c>
      <c r="C40" s="36" t="s">
        <v>56</v>
      </c>
      <c r="D40" s="37"/>
      <c r="E40" s="38"/>
      <c r="F40" s="13"/>
    </row>
    <row r="41" spans="1:6" ht="19.5" customHeight="1" x14ac:dyDescent="0.2">
      <c r="A41" s="13"/>
      <c r="B41" s="31" t="s">
        <v>58</v>
      </c>
      <c r="C41" s="32" t="s">
        <v>56</v>
      </c>
      <c r="D41" s="33"/>
      <c r="E41" s="34"/>
      <c r="F41" s="13"/>
    </row>
    <row r="42" spans="1:6" ht="19.5" customHeight="1" x14ac:dyDescent="0.2">
      <c r="A42" s="13"/>
      <c r="B42" s="35" t="s">
        <v>59</v>
      </c>
      <c r="C42" s="36" t="s">
        <v>56</v>
      </c>
      <c r="D42" s="37"/>
      <c r="E42" s="38"/>
      <c r="F42" s="13"/>
    </row>
    <row r="43" spans="1:6" ht="6" customHeight="1" x14ac:dyDescent="0.2">
      <c r="A43" s="13"/>
      <c r="B43" s="17"/>
      <c r="C43" s="18"/>
      <c r="D43" s="18"/>
      <c r="E43" s="19"/>
      <c r="F43" s="13"/>
    </row>
    <row r="44" spans="1:6" ht="9.75" customHeight="1" x14ac:dyDescent="0.2">
      <c r="A44" s="13"/>
      <c r="B44" s="13"/>
      <c r="C44" s="13"/>
      <c r="D44" s="13"/>
      <c r="E44" s="13"/>
      <c r="F44" s="13"/>
    </row>
    <row r="45" spans="1:6" ht="27.75" customHeight="1" thickBot="1" x14ac:dyDescent="0.25">
      <c r="A45" s="13"/>
      <c r="B45" s="9" t="s">
        <v>60</v>
      </c>
      <c r="C45" s="9"/>
      <c r="D45" s="9"/>
      <c r="E45" s="9"/>
      <c r="F45" s="13"/>
    </row>
    <row r="46" spans="1:6" ht="18" customHeight="1" x14ac:dyDescent="0.2">
      <c r="A46" s="13"/>
      <c r="B46" t="s">
        <v>237</v>
      </c>
      <c r="C46" s="13"/>
      <c r="D46" s="13"/>
      <c r="E46" s="13"/>
      <c r="F46" s="13"/>
    </row>
    <row r="47" spans="1:6" ht="18" customHeight="1" x14ac:dyDescent="0.2">
      <c r="A47" s="13"/>
      <c r="B47" s="13"/>
      <c r="C47" s="13"/>
      <c r="D47" s="13"/>
      <c r="E47" s="13"/>
      <c r="F47" s="13"/>
    </row>
    <row r="48" spans="1:6" ht="18" customHeight="1" x14ac:dyDescent="0.2">
      <c r="A48" s="13"/>
      <c r="B48" s="13"/>
      <c r="C48" s="13"/>
      <c r="D48" s="13"/>
      <c r="E48" s="13"/>
      <c r="F48" s="13"/>
    </row>
    <row r="49" spans="1:6" ht="18" customHeight="1" x14ac:dyDescent="0.2">
      <c r="A49" s="13"/>
      <c r="B49" s="13"/>
      <c r="C49" s="13"/>
      <c r="D49" s="13"/>
      <c r="E49" s="13"/>
      <c r="F49" s="13"/>
    </row>
    <row r="50" spans="1:6" ht="18" customHeight="1" x14ac:dyDescent="0.2">
      <c r="A50" s="13"/>
      <c r="B50" s="13"/>
      <c r="C50" s="13"/>
      <c r="D50" s="13"/>
      <c r="E50" s="13"/>
      <c r="F50" s="13"/>
    </row>
    <row r="51" spans="1:6" ht="18" customHeight="1" x14ac:dyDescent="0.2">
      <c r="A51" s="13"/>
      <c r="B51" s="13"/>
      <c r="C51" s="13"/>
      <c r="D51" s="13"/>
      <c r="E51" s="13"/>
      <c r="F51" s="13"/>
    </row>
    <row r="52" spans="1:6" ht="18" customHeight="1" x14ac:dyDescent="0.2">
      <c r="A52" s="13"/>
      <c r="B52" s="13"/>
      <c r="C52" s="13"/>
      <c r="D52" s="13"/>
      <c r="E52" s="13"/>
      <c r="F52" s="13"/>
    </row>
    <row r="53" spans="1:6" ht="18" customHeight="1" x14ac:dyDescent="0.2">
      <c r="A53" s="13"/>
      <c r="B53" s="13"/>
      <c r="C53" s="13"/>
      <c r="D53" s="13"/>
      <c r="E53" s="13"/>
      <c r="F53" s="13"/>
    </row>
    <row r="54" spans="1:6" ht="18" customHeight="1" x14ac:dyDescent="0.2">
      <c r="A54" s="13"/>
      <c r="B54" s="13"/>
      <c r="C54" s="13"/>
      <c r="D54" s="13"/>
      <c r="E54" s="13"/>
      <c r="F54" s="13"/>
    </row>
    <row r="55" spans="1:6" ht="18" customHeight="1" x14ac:dyDescent="0.2"/>
    <row r="56" spans="1:6" ht="18" customHeight="1" x14ac:dyDescent="0.2"/>
    <row r="57" spans="1:6" ht="18" customHeight="1" x14ac:dyDescent="0.2"/>
    <row r="58" spans="1:6" ht="18" customHeight="1" x14ac:dyDescent="0.2"/>
    <row r="59" spans="1:6" ht="18" customHeight="1" x14ac:dyDescent="0.2"/>
  </sheetData>
  <mergeCells count="8">
    <mergeCell ref="B28:E28"/>
    <mergeCell ref="B37:E37"/>
    <mergeCell ref="B45:E45"/>
    <mergeCell ref="A3:F3"/>
    <mergeCell ref="A4:F4"/>
    <mergeCell ref="B7:E7"/>
    <mergeCell ref="B14:E14"/>
    <mergeCell ref="B20:E2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20"/>
  <sheetViews>
    <sheetView topLeftCell="E1" zoomScale="127" zoomScaleNormal="127" workbookViewId="0">
      <pane ySplit="3" topLeftCell="A6" activePane="bottomLeft" state="frozen"/>
      <selection pane="bottomLeft" activeCell="D222" sqref="D222"/>
    </sheetView>
  </sheetViews>
  <sheetFormatPr baseColWidth="10" defaultColWidth="8.6640625" defaultRowHeight="15" x14ac:dyDescent="0.2"/>
  <cols>
    <col min="1" max="1" width="10" customWidth="1"/>
    <col min="2" max="2" width="18" customWidth="1"/>
    <col min="3" max="3" width="28" customWidth="1"/>
    <col min="4" max="4" width="50" customWidth="1"/>
    <col min="5" max="5" width="22" customWidth="1"/>
    <col min="6" max="6" width="24" customWidth="1"/>
    <col min="7" max="7" width="13" customWidth="1"/>
    <col min="8" max="8" width="11" customWidth="1"/>
    <col min="9" max="9" width="12" customWidth="1"/>
    <col min="10" max="10" width="14" customWidth="1"/>
    <col min="11" max="11" width="40" customWidth="1"/>
    <col min="12" max="12" width="20" customWidth="1"/>
    <col min="13" max="13" width="17" customWidth="1"/>
    <col min="14" max="15" width="15" customWidth="1"/>
    <col min="16" max="17" width="16" customWidth="1"/>
    <col min="18" max="18" width="20" customWidth="1"/>
    <col min="19" max="19" width="14" customWidth="1"/>
  </cols>
  <sheetData>
    <row r="1" spans="1:19" ht="36" customHeight="1" x14ac:dyDescent="0.2">
      <c r="A1" s="8" t="s">
        <v>231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spans="1:19" ht="18" customHeight="1" x14ac:dyDescent="0.2">
      <c r="A2" s="7" t="s">
        <v>61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ht="31.5" customHeight="1" x14ac:dyDescent="0.2">
      <c r="A3" s="39" t="s">
        <v>231</v>
      </c>
      <c r="B3" s="39" t="s">
        <v>62</v>
      </c>
      <c r="C3" s="39" t="s">
        <v>63</v>
      </c>
      <c r="D3" s="39" t="s">
        <v>64</v>
      </c>
      <c r="E3" s="39" t="s">
        <v>65</v>
      </c>
      <c r="F3" s="39" t="s">
        <v>66</v>
      </c>
      <c r="G3" s="39" t="s">
        <v>67</v>
      </c>
      <c r="H3" s="39" t="s">
        <v>68</v>
      </c>
      <c r="I3" s="39" t="s">
        <v>69</v>
      </c>
      <c r="J3" s="39" t="s">
        <v>70</v>
      </c>
      <c r="K3" s="39" t="s">
        <v>71</v>
      </c>
      <c r="L3" s="39" t="s">
        <v>72</v>
      </c>
      <c r="M3" s="39" t="s">
        <v>73</v>
      </c>
      <c r="N3" s="39" t="s">
        <v>74</v>
      </c>
      <c r="O3" s="39" t="s">
        <v>75</v>
      </c>
      <c r="P3" s="39" t="s">
        <v>76</v>
      </c>
      <c r="Q3" s="39" t="s">
        <v>77</v>
      </c>
      <c r="R3" s="39" t="s">
        <v>78</v>
      </c>
      <c r="S3" s="39" t="s">
        <v>79</v>
      </c>
    </row>
    <row r="4" spans="1:19" ht="60" customHeight="1" x14ac:dyDescent="0.2">
      <c r="A4" s="40" t="s">
        <v>80</v>
      </c>
      <c r="B4" s="41" t="s">
        <v>81</v>
      </c>
      <c r="C4" s="41" t="s">
        <v>82</v>
      </c>
      <c r="D4" s="41" t="s">
        <v>83</v>
      </c>
      <c r="E4" s="41" t="s">
        <v>84</v>
      </c>
      <c r="F4" s="41" t="s">
        <v>85</v>
      </c>
      <c r="G4" s="40">
        <v>3</v>
      </c>
      <c r="H4" s="40">
        <v>4</v>
      </c>
      <c r="I4" s="40">
        <f t="shared" ref="I4:I15" si="0">G4*H4</f>
        <v>12</v>
      </c>
      <c r="J4" s="42" t="s">
        <v>86</v>
      </c>
      <c r="K4" s="41" t="s">
        <v>87</v>
      </c>
      <c r="L4" s="40" t="s">
        <v>88</v>
      </c>
      <c r="M4" s="40">
        <v>2</v>
      </c>
      <c r="N4" s="40">
        <v>3</v>
      </c>
      <c r="O4" s="40">
        <f t="shared" ref="O4:O15" si="1">M4*N4</f>
        <v>6</v>
      </c>
      <c r="P4" s="43" t="s">
        <v>89</v>
      </c>
      <c r="Q4" s="41" t="s">
        <v>90</v>
      </c>
      <c r="R4" s="41" t="s">
        <v>91</v>
      </c>
      <c r="S4" s="41" t="s">
        <v>92</v>
      </c>
    </row>
    <row r="5" spans="1:19" ht="60" customHeight="1" x14ac:dyDescent="0.2">
      <c r="A5" s="44" t="s">
        <v>93</v>
      </c>
      <c r="B5" s="45" t="s">
        <v>94</v>
      </c>
      <c r="C5" s="45" t="s">
        <v>95</v>
      </c>
      <c r="D5" s="45" t="s">
        <v>96</v>
      </c>
      <c r="E5" s="45" t="s">
        <v>97</v>
      </c>
      <c r="F5" s="45" t="s">
        <v>98</v>
      </c>
      <c r="G5" s="44">
        <v>4</v>
      </c>
      <c r="H5" s="44">
        <v>5</v>
      </c>
      <c r="I5" s="44">
        <f t="shared" si="0"/>
        <v>20</v>
      </c>
      <c r="J5" s="46" t="s">
        <v>99</v>
      </c>
      <c r="K5" s="45" t="s">
        <v>100</v>
      </c>
      <c r="L5" s="44" t="s">
        <v>101</v>
      </c>
      <c r="M5" s="44">
        <v>3</v>
      </c>
      <c r="N5" s="44">
        <v>4</v>
      </c>
      <c r="O5" s="44">
        <f t="shared" si="1"/>
        <v>12</v>
      </c>
      <c r="P5" s="42" t="s">
        <v>86</v>
      </c>
      <c r="Q5" s="45" t="s">
        <v>102</v>
      </c>
      <c r="R5" s="45" t="s">
        <v>103</v>
      </c>
      <c r="S5" s="45" t="s">
        <v>104</v>
      </c>
    </row>
    <row r="6" spans="1:19" ht="60" customHeight="1" x14ac:dyDescent="0.2">
      <c r="A6" s="40" t="s">
        <v>105</v>
      </c>
      <c r="B6" s="41" t="s">
        <v>106</v>
      </c>
      <c r="C6" s="41" t="s">
        <v>107</v>
      </c>
      <c r="D6" s="41" t="s">
        <v>108</v>
      </c>
      <c r="E6" s="41" t="s">
        <v>109</v>
      </c>
      <c r="F6" s="41" t="s">
        <v>110</v>
      </c>
      <c r="G6" s="40">
        <v>2</v>
      </c>
      <c r="H6" s="40">
        <v>5</v>
      </c>
      <c r="I6" s="40">
        <f t="shared" si="0"/>
        <v>10</v>
      </c>
      <c r="J6" s="42" t="s">
        <v>86</v>
      </c>
      <c r="K6" s="41" t="s">
        <v>111</v>
      </c>
      <c r="L6" s="40" t="s">
        <v>101</v>
      </c>
      <c r="M6" s="40">
        <v>2</v>
      </c>
      <c r="N6" s="40">
        <v>4</v>
      </c>
      <c r="O6" s="40">
        <f t="shared" si="1"/>
        <v>8</v>
      </c>
      <c r="P6" s="43" t="s">
        <v>89</v>
      </c>
      <c r="Q6" s="41" t="s">
        <v>112</v>
      </c>
      <c r="R6" s="41" t="s">
        <v>113</v>
      </c>
      <c r="S6" s="41" t="s">
        <v>114</v>
      </c>
    </row>
    <row r="7" spans="1:19" ht="60" customHeight="1" x14ac:dyDescent="0.2">
      <c r="A7" s="44" t="s">
        <v>115</v>
      </c>
      <c r="B7" s="45" t="s">
        <v>232</v>
      </c>
      <c r="C7" s="45" t="s">
        <v>116</v>
      </c>
      <c r="D7" s="45" t="s">
        <v>117</v>
      </c>
      <c r="E7" s="45" t="s">
        <v>118</v>
      </c>
      <c r="F7" s="45" t="s">
        <v>119</v>
      </c>
      <c r="G7" s="44">
        <v>4</v>
      </c>
      <c r="H7" s="44">
        <v>4</v>
      </c>
      <c r="I7" s="44">
        <f t="shared" si="0"/>
        <v>16</v>
      </c>
      <c r="J7" s="46" t="s">
        <v>99</v>
      </c>
      <c r="K7" s="45" t="s">
        <v>120</v>
      </c>
      <c r="L7" s="44" t="s">
        <v>101</v>
      </c>
      <c r="M7" s="44">
        <v>3</v>
      </c>
      <c r="N7" s="44">
        <v>3</v>
      </c>
      <c r="O7" s="44">
        <f t="shared" si="1"/>
        <v>9</v>
      </c>
      <c r="P7" s="43" t="s">
        <v>89</v>
      </c>
      <c r="Q7" s="45" t="s">
        <v>121</v>
      </c>
      <c r="R7" s="45" t="s">
        <v>122</v>
      </c>
      <c r="S7" s="45" t="s">
        <v>123</v>
      </c>
    </row>
    <row r="8" spans="1:19" ht="60" customHeight="1" x14ac:dyDescent="0.2">
      <c r="A8" s="40" t="s">
        <v>124</v>
      </c>
      <c r="B8" s="41" t="s">
        <v>125</v>
      </c>
      <c r="C8" s="41" t="s">
        <v>126</v>
      </c>
      <c r="D8" s="41" t="s">
        <v>127</v>
      </c>
      <c r="E8" s="41" t="s">
        <v>128</v>
      </c>
      <c r="F8" s="41" t="s">
        <v>129</v>
      </c>
      <c r="G8" s="40">
        <v>2</v>
      </c>
      <c r="H8" s="40">
        <v>5</v>
      </c>
      <c r="I8" s="40">
        <f t="shared" si="0"/>
        <v>10</v>
      </c>
      <c r="J8" s="42" t="s">
        <v>86</v>
      </c>
      <c r="K8" s="41" t="s">
        <v>130</v>
      </c>
      <c r="L8" s="40" t="s">
        <v>131</v>
      </c>
      <c r="M8" s="40">
        <v>2</v>
      </c>
      <c r="N8" s="40">
        <v>5</v>
      </c>
      <c r="O8" s="40">
        <f t="shared" si="1"/>
        <v>10</v>
      </c>
      <c r="P8" s="42" t="s">
        <v>86</v>
      </c>
      <c r="Q8" s="41" t="s">
        <v>132</v>
      </c>
      <c r="R8" s="41" t="s">
        <v>133</v>
      </c>
      <c r="S8" s="41" t="s">
        <v>134</v>
      </c>
    </row>
    <row r="9" spans="1:19" ht="60" customHeight="1" x14ac:dyDescent="0.2">
      <c r="A9" s="44" t="s">
        <v>135</v>
      </c>
      <c r="B9" s="45" t="s">
        <v>136</v>
      </c>
      <c r="C9" s="45" t="s">
        <v>137</v>
      </c>
      <c r="D9" s="45" t="s">
        <v>138</v>
      </c>
      <c r="E9" s="45" t="s">
        <v>109</v>
      </c>
      <c r="F9" s="45" t="s">
        <v>139</v>
      </c>
      <c r="G9" s="44">
        <v>3</v>
      </c>
      <c r="H9" s="44">
        <v>5</v>
      </c>
      <c r="I9" s="44">
        <f t="shared" si="0"/>
        <v>15</v>
      </c>
      <c r="J9" s="46" t="s">
        <v>99</v>
      </c>
      <c r="K9" s="45" t="s">
        <v>140</v>
      </c>
      <c r="L9" s="44" t="s">
        <v>88</v>
      </c>
      <c r="M9" s="44">
        <v>2</v>
      </c>
      <c r="N9" s="44">
        <v>4</v>
      </c>
      <c r="O9" s="44">
        <f t="shared" si="1"/>
        <v>8</v>
      </c>
      <c r="P9" s="43" t="s">
        <v>89</v>
      </c>
      <c r="Q9" s="45" t="s">
        <v>141</v>
      </c>
      <c r="R9" s="45" t="s">
        <v>142</v>
      </c>
      <c r="S9" s="45" t="s">
        <v>114</v>
      </c>
    </row>
    <row r="10" spans="1:19" ht="60" customHeight="1" x14ac:dyDescent="0.2">
      <c r="A10" s="40" t="s">
        <v>143</v>
      </c>
      <c r="B10" s="41" t="s">
        <v>144</v>
      </c>
      <c r="C10" s="41" t="s">
        <v>145</v>
      </c>
      <c r="D10" s="41" t="s">
        <v>146</v>
      </c>
      <c r="E10" s="41" t="s">
        <v>147</v>
      </c>
      <c r="F10" s="41" t="s">
        <v>148</v>
      </c>
      <c r="G10" s="40">
        <v>2</v>
      </c>
      <c r="H10" s="40">
        <v>5</v>
      </c>
      <c r="I10" s="40">
        <f t="shared" si="0"/>
        <v>10</v>
      </c>
      <c r="J10" s="42" t="s">
        <v>86</v>
      </c>
      <c r="K10" s="41" t="s">
        <v>149</v>
      </c>
      <c r="L10" s="40" t="s">
        <v>131</v>
      </c>
      <c r="M10" s="40">
        <v>2</v>
      </c>
      <c r="N10" s="40">
        <v>4</v>
      </c>
      <c r="O10" s="40">
        <f t="shared" si="1"/>
        <v>8</v>
      </c>
      <c r="P10" s="43" t="s">
        <v>89</v>
      </c>
      <c r="Q10" s="41" t="s">
        <v>150</v>
      </c>
      <c r="R10" s="41" t="s">
        <v>151</v>
      </c>
      <c r="S10" s="41" t="s">
        <v>152</v>
      </c>
    </row>
    <row r="11" spans="1:19" ht="60" customHeight="1" x14ac:dyDescent="0.2">
      <c r="A11" s="44" t="s">
        <v>153</v>
      </c>
      <c r="B11" s="45" t="s">
        <v>154</v>
      </c>
      <c r="C11" s="45" t="s">
        <v>155</v>
      </c>
      <c r="D11" s="45" t="s">
        <v>156</v>
      </c>
      <c r="E11" s="45" t="s">
        <v>118</v>
      </c>
      <c r="F11" s="45" t="s">
        <v>157</v>
      </c>
      <c r="G11" s="44">
        <v>4</v>
      </c>
      <c r="H11" s="44">
        <v>3</v>
      </c>
      <c r="I11" s="44">
        <f t="shared" si="0"/>
        <v>12</v>
      </c>
      <c r="J11" s="42" t="s">
        <v>86</v>
      </c>
      <c r="K11" s="45" t="s">
        <v>158</v>
      </c>
      <c r="L11" s="44" t="s">
        <v>101</v>
      </c>
      <c r="M11" s="44">
        <v>2</v>
      </c>
      <c r="N11" s="44">
        <v>3</v>
      </c>
      <c r="O11" s="44">
        <f t="shared" si="1"/>
        <v>6</v>
      </c>
      <c r="P11" s="43" t="s">
        <v>89</v>
      </c>
      <c r="Q11" s="45" t="s">
        <v>159</v>
      </c>
      <c r="R11" s="45" t="s">
        <v>160</v>
      </c>
      <c r="S11" s="45" t="s">
        <v>104</v>
      </c>
    </row>
    <row r="12" spans="1:19" ht="60" customHeight="1" x14ac:dyDescent="0.2">
      <c r="A12" s="40" t="s">
        <v>161</v>
      </c>
      <c r="B12" s="41" t="s">
        <v>162</v>
      </c>
      <c r="C12" s="41" t="s">
        <v>163</v>
      </c>
      <c r="D12" s="41" t="s">
        <v>164</v>
      </c>
      <c r="E12" s="41" t="s">
        <v>165</v>
      </c>
      <c r="F12" s="41" t="s">
        <v>166</v>
      </c>
      <c r="G12" s="40">
        <v>3</v>
      </c>
      <c r="H12" s="40">
        <v>3</v>
      </c>
      <c r="I12" s="40">
        <f t="shared" si="0"/>
        <v>9</v>
      </c>
      <c r="J12" s="43" t="s">
        <v>89</v>
      </c>
      <c r="K12" s="41" t="s">
        <v>167</v>
      </c>
      <c r="L12" s="40" t="s">
        <v>131</v>
      </c>
      <c r="M12" s="40">
        <v>2</v>
      </c>
      <c r="N12" s="40">
        <v>3</v>
      </c>
      <c r="O12" s="40">
        <f t="shared" si="1"/>
        <v>6</v>
      </c>
      <c r="P12" s="43" t="s">
        <v>89</v>
      </c>
      <c r="Q12" s="41" t="s">
        <v>168</v>
      </c>
      <c r="R12" s="41" t="s">
        <v>169</v>
      </c>
      <c r="S12" s="41" t="s">
        <v>92</v>
      </c>
    </row>
    <row r="13" spans="1:19" ht="60" customHeight="1" x14ac:dyDescent="0.2">
      <c r="A13" s="44" t="s">
        <v>170</v>
      </c>
      <c r="B13" s="45" t="s">
        <v>171</v>
      </c>
      <c r="C13" s="45" t="s">
        <v>172</v>
      </c>
      <c r="D13" s="45" t="s">
        <v>173</v>
      </c>
      <c r="E13" s="45" t="s">
        <v>174</v>
      </c>
      <c r="F13" s="45" t="s">
        <v>175</v>
      </c>
      <c r="G13" s="44">
        <v>3</v>
      </c>
      <c r="H13" s="44">
        <v>5</v>
      </c>
      <c r="I13" s="44">
        <f t="shared" si="0"/>
        <v>15</v>
      </c>
      <c r="J13" s="46" t="s">
        <v>99</v>
      </c>
      <c r="K13" s="45" t="s">
        <v>176</v>
      </c>
      <c r="L13" s="44" t="s">
        <v>101</v>
      </c>
      <c r="M13" s="44">
        <v>2</v>
      </c>
      <c r="N13" s="44">
        <v>4</v>
      </c>
      <c r="O13" s="44">
        <f t="shared" si="1"/>
        <v>8</v>
      </c>
      <c r="P13" s="43" t="s">
        <v>89</v>
      </c>
      <c r="Q13" s="45" t="s">
        <v>177</v>
      </c>
      <c r="R13" s="45" t="s">
        <v>178</v>
      </c>
      <c r="S13" s="45" t="s">
        <v>123</v>
      </c>
    </row>
    <row r="14" spans="1:19" ht="60" customHeight="1" x14ac:dyDescent="0.2">
      <c r="A14" s="40" t="s">
        <v>179</v>
      </c>
      <c r="B14" s="41" t="s">
        <v>233</v>
      </c>
      <c r="C14" s="41" t="s">
        <v>180</v>
      </c>
      <c r="D14" s="41" t="s">
        <v>181</v>
      </c>
      <c r="E14" s="41" t="s">
        <v>182</v>
      </c>
      <c r="F14" s="41" t="s">
        <v>183</v>
      </c>
      <c r="G14" s="40">
        <v>3</v>
      </c>
      <c r="H14" s="40">
        <v>4</v>
      </c>
      <c r="I14" s="40">
        <f t="shared" si="0"/>
        <v>12</v>
      </c>
      <c r="J14" s="42" t="s">
        <v>86</v>
      </c>
      <c r="K14" s="41" t="s">
        <v>184</v>
      </c>
      <c r="L14" s="40" t="s">
        <v>88</v>
      </c>
      <c r="M14" s="40">
        <v>2</v>
      </c>
      <c r="N14" s="40">
        <v>3</v>
      </c>
      <c r="O14" s="40">
        <f t="shared" si="1"/>
        <v>6</v>
      </c>
      <c r="P14" s="43" t="s">
        <v>89</v>
      </c>
      <c r="Q14" s="41" t="s">
        <v>185</v>
      </c>
      <c r="R14" s="41" t="s">
        <v>186</v>
      </c>
      <c r="S14" s="41" t="s">
        <v>114</v>
      </c>
    </row>
    <row r="15" spans="1:19" ht="60" customHeight="1" x14ac:dyDescent="0.2">
      <c r="A15" s="44" t="s">
        <v>187</v>
      </c>
      <c r="B15" s="45" t="s">
        <v>188</v>
      </c>
      <c r="C15" s="45" t="s">
        <v>189</v>
      </c>
      <c r="D15" s="45" t="s">
        <v>190</v>
      </c>
      <c r="E15" s="45" t="s">
        <v>109</v>
      </c>
      <c r="F15" s="45" t="s">
        <v>191</v>
      </c>
      <c r="G15" s="44">
        <v>2</v>
      </c>
      <c r="H15" s="44">
        <v>4</v>
      </c>
      <c r="I15" s="44">
        <f t="shared" si="0"/>
        <v>8</v>
      </c>
      <c r="J15" s="43" t="s">
        <v>89</v>
      </c>
      <c r="K15" s="45" t="s">
        <v>192</v>
      </c>
      <c r="L15" s="44" t="s">
        <v>88</v>
      </c>
      <c r="M15" s="44">
        <v>1</v>
      </c>
      <c r="N15" s="44">
        <v>3</v>
      </c>
      <c r="O15" s="44">
        <f t="shared" si="1"/>
        <v>3</v>
      </c>
      <c r="P15" s="47" t="s">
        <v>131</v>
      </c>
      <c r="Q15" s="45" t="s">
        <v>193</v>
      </c>
      <c r="R15" s="45" t="s">
        <v>194</v>
      </c>
      <c r="S15" s="45" t="s">
        <v>134</v>
      </c>
    </row>
    <row r="218" spans="2:2" x14ac:dyDescent="0.2">
      <c r="B218" t="s">
        <v>234</v>
      </c>
    </row>
    <row r="219" spans="2:2" x14ac:dyDescent="0.2">
      <c r="B219" t="s">
        <v>235</v>
      </c>
    </row>
    <row r="220" spans="2:2" x14ac:dyDescent="0.2">
      <c r="B220" t="s">
        <v>236</v>
      </c>
    </row>
  </sheetData>
  <mergeCells count="2">
    <mergeCell ref="A1:S1"/>
    <mergeCell ref="A2:S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4"/>
  <sheetViews>
    <sheetView zoomScaleNormal="100" workbookViewId="0">
      <selection activeCell="A24" sqref="A24"/>
    </sheetView>
  </sheetViews>
  <sheetFormatPr baseColWidth="10" defaultColWidth="8.6640625" defaultRowHeight="15" x14ac:dyDescent="0.2"/>
  <cols>
    <col min="1" max="1" width="22" customWidth="1"/>
    <col min="2" max="6" width="16" customWidth="1"/>
  </cols>
  <sheetData>
    <row r="1" spans="1:6" ht="30" customHeight="1" x14ac:dyDescent="0.2">
      <c r="A1" s="6" t="s">
        <v>195</v>
      </c>
      <c r="B1" s="6"/>
      <c r="C1" s="6"/>
      <c r="D1" s="6"/>
      <c r="E1" s="6"/>
      <c r="F1" s="6"/>
    </row>
    <row r="2" spans="1:6" ht="21.75" customHeight="1" x14ac:dyDescent="0.2">
      <c r="A2" s="48" t="s">
        <v>196</v>
      </c>
      <c r="B2" s="48" t="s">
        <v>197</v>
      </c>
      <c r="C2" s="48" t="s">
        <v>198</v>
      </c>
      <c r="D2" s="48" t="s">
        <v>199</v>
      </c>
      <c r="E2" s="48" t="s">
        <v>200</v>
      </c>
      <c r="F2" s="48" t="s">
        <v>201</v>
      </c>
    </row>
    <row r="3" spans="1:6" ht="25.5" customHeight="1" x14ac:dyDescent="0.2">
      <c r="A3" s="49" t="s">
        <v>201</v>
      </c>
      <c r="B3" s="50" t="s">
        <v>202</v>
      </c>
      <c r="C3" s="51" t="s">
        <v>203</v>
      </c>
      <c r="D3" s="51" t="s">
        <v>204</v>
      </c>
      <c r="E3" s="52" t="s">
        <v>205</v>
      </c>
      <c r="F3" s="52" t="s">
        <v>206</v>
      </c>
    </row>
    <row r="4" spans="1:6" ht="25.5" customHeight="1" x14ac:dyDescent="0.2">
      <c r="A4" s="49" t="s">
        <v>200</v>
      </c>
      <c r="B4" s="50" t="s">
        <v>207</v>
      </c>
      <c r="C4" s="50" t="s">
        <v>208</v>
      </c>
      <c r="D4" s="51" t="s">
        <v>209</v>
      </c>
      <c r="E4" s="51" t="s">
        <v>203</v>
      </c>
      <c r="F4" s="52" t="s">
        <v>205</v>
      </c>
    </row>
    <row r="5" spans="1:6" ht="25.5" customHeight="1" x14ac:dyDescent="0.2">
      <c r="A5" s="49" t="s">
        <v>199</v>
      </c>
      <c r="B5" s="53" t="s">
        <v>210</v>
      </c>
      <c r="C5" s="53" t="s">
        <v>211</v>
      </c>
      <c r="D5" s="50" t="s">
        <v>212</v>
      </c>
      <c r="E5" s="51" t="s">
        <v>209</v>
      </c>
      <c r="F5" s="51" t="s">
        <v>204</v>
      </c>
    </row>
    <row r="6" spans="1:6" ht="25.5" customHeight="1" x14ac:dyDescent="0.2">
      <c r="A6" s="49" t="s">
        <v>198</v>
      </c>
      <c r="B6" s="54" t="s">
        <v>213</v>
      </c>
      <c r="C6" s="53" t="s">
        <v>214</v>
      </c>
      <c r="D6" s="53" t="s">
        <v>211</v>
      </c>
      <c r="E6" s="50" t="s">
        <v>208</v>
      </c>
      <c r="F6" s="51" t="s">
        <v>203</v>
      </c>
    </row>
    <row r="7" spans="1:6" ht="25.5" customHeight="1" x14ac:dyDescent="0.2">
      <c r="A7" s="49" t="s">
        <v>197</v>
      </c>
      <c r="B7" s="54" t="s">
        <v>215</v>
      </c>
      <c r="C7" s="54" t="s">
        <v>213</v>
      </c>
      <c r="D7" s="53" t="s">
        <v>210</v>
      </c>
      <c r="E7" s="53" t="s">
        <v>207</v>
      </c>
      <c r="F7" s="50" t="s">
        <v>202</v>
      </c>
    </row>
    <row r="9" spans="1:6" ht="15" customHeight="1" x14ac:dyDescent="0.2">
      <c r="A9" s="5" t="s">
        <v>216</v>
      </c>
      <c r="B9" s="5"/>
    </row>
    <row r="10" spans="1:6" ht="19.5" customHeight="1" x14ac:dyDescent="0.2">
      <c r="A10" s="4" t="s">
        <v>217</v>
      </c>
      <c r="B10" s="4"/>
    </row>
    <row r="11" spans="1:6" ht="19.5" customHeight="1" x14ac:dyDescent="0.2">
      <c r="A11" s="3" t="s">
        <v>218</v>
      </c>
      <c r="B11" s="3"/>
    </row>
    <row r="12" spans="1:6" ht="19.5" customHeight="1" x14ac:dyDescent="0.2">
      <c r="A12" s="2" t="s">
        <v>219</v>
      </c>
      <c r="B12" s="2"/>
    </row>
    <row r="13" spans="1:6" ht="19.5" customHeight="1" x14ac:dyDescent="0.2">
      <c r="A13" s="1" t="s">
        <v>220</v>
      </c>
      <c r="B13" s="1"/>
    </row>
    <row r="14" spans="1:6" x14ac:dyDescent="0.2">
      <c r="A14" t="s">
        <v>237</v>
      </c>
    </row>
  </sheetData>
  <mergeCells count="6">
    <mergeCell ref="A13:B13"/>
    <mergeCell ref="A1:F1"/>
    <mergeCell ref="A9:B9"/>
    <mergeCell ref="A10:B10"/>
    <mergeCell ref="A11:B11"/>
    <mergeCell ref="A12:B1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"/>
  <sheetViews>
    <sheetView zoomScaleNormal="100" workbookViewId="0">
      <selection activeCell="E25" sqref="E25"/>
    </sheetView>
  </sheetViews>
  <sheetFormatPr baseColWidth="10" defaultColWidth="8.6640625" defaultRowHeight="15" x14ac:dyDescent="0.2"/>
  <cols>
    <col min="1" max="1" width="16" customWidth="1"/>
    <col min="2" max="3" width="14" customWidth="1"/>
    <col min="4" max="4" width="12" customWidth="1"/>
    <col min="5" max="5" width="40" customWidth="1"/>
  </cols>
  <sheetData>
    <row r="1" spans="1:5" ht="30" customHeight="1" x14ac:dyDescent="0.2">
      <c r="A1" s="6" t="s">
        <v>221</v>
      </c>
      <c r="B1" s="6"/>
      <c r="C1" s="6"/>
      <c r="D1" s="6"/>
      <c r="E1" s="6"/>
    </row>
    <row r="2" spans="1:5" ht="21.75" customHeight="1" x14ac:dyDescent="0.2">
      <c r="A2" s="55" t="s">
        <v>70</v>
      </c>
      <c r="B2" s="55" t="s">
        <v>222</v>
      </c>
      <c r="C2" s="55" t="s">
        <v>223</v>
      </c>
      <c r="D2" s="55" t="s">
        <v>224</v>
      </c>
      <c r="E2" s="56" t="s">
        <v>225</v>
      </c>
    </row>
    <row r="3" spans="1:5" ht="21.75" customHeight="1" x14ac:dyDescent="0.2">
      <c r="A3" s="57" t="s">
        <v>99</v>
      </c>
      <c r="B3" s="57">
        <v>2</v>
      </c>
      <c r="C3" s="57">
        <v>0</v>
      </c>
      <c r="D3" s="58">
        <f>1-C3/B3</f>
        <v>1</v>
      </c>
      <c r="E3" s="59" t="s">
        <v>226</v>
      </c>
    </row>
    <row r="4" spans="1:5" ht="21.75" customHeight="1" x14ac:dyDescent="0.2">
      <c r="A4" s="60" t="s">
        <v>86</v>
      </c>
      <c r="B4" s="60">
        <v>5</v>
      </c>
      <c r="C4" s="60">
        <v>3</v>
      </c>
      <c r="D4" s="61">
        <f>1-C4/B4</f>
        <v>0.4</v>
      </c>
      <c r="E4" s="62" t="s">
        <v>227</v>
      </c>
    </row>
    <row r="5" spans="1:5" ht="21.75" customHeight="1" x14ac:dyDescent="0.2">
      <c r="A5" s="63" t="s">
        <v>89</v>
      </c>
      <c r="B5" s="63">
        <v>4</v>
      </c>
      <c r="C5" s="63">
        <v>7</v>
      </c>
      <c r="D5" s="64">
        <f>1-C5/B5</f>
        <v>-0.75</v>
      </c>
      <c r="E5" s="65" t="s">
        <v>228</v>
      </c>
    </row>
    <row r="6" spans="1:5" ht="21.75" customHeight="1" x14ac:dyDescent="0.2">
      <c r="A6" s="66" t="s">
        <v>131</v>
      </c>
      <c r="B6" s="66">
        <v>1</v>
      </c>
      <c r="C6" s="66">
        <v>2</v>
      </c>
      <c r="D6" s="67">
        <f>1-C6/B6</f>
        <v>-1</v>
      </c>
      <c r="E6" s="68" t="s">
        <v>229</v>
      </c>
    </row>
    <row r="7" spans="1:5" ht="21.75" customHeight="1" x14ac:dyDescent="0.2">
      <c r="A7" s="69" t="s">
        <v>230</v>
      </c>
      <c r="B7" s="69">
        <f>SUM(B3:B6)</f>
        <v>12</v>
      </c>
      <c r="C7" s="69">
        <f>SUM(C3:C6)</f>
        <v>12</v>
      </c>
      <c r="D7" s="69"/>
      <c r="E7" s="70"/>
    </row>
    <row r="8" spans="1:5" x14ac:dyDescent="0.2">
      <c r="E8" t="s">
        <v>237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Document Info</vt:lpstr>
      <vt:lpstr>Risk Register</vt:lpstr>
      <vt:lpstr>Risk Matrix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Jan Gennat</cp:lastModifiedBy>
  <cp:revision>0</cp:revision>
  <dcterms:created xsi:type="dcterms:W3CDTF">2026-05-29T07:20:13Z</dcterms:created>
  <dcterms:modified xsi:type="dcterms:W3CDTF">2026-05-29T07:44:39Z</dcterms:modified>
  <dc:language>en-US</dc:language>
</cp:coreProperties>
</file>